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alcChain.xml" ContentType="application/vnd.openxmlformats-officedocument.spreadsheetml.calcChain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240" yWindow="180" windowWidth="18075" windowHeight="10935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H29" i="1" l="1"/>
  <c r="C7" i="1"/>
  <c r="C8" i="1"/>
  <c r="C9" i="1"/>
  <c r="P9" i="1"/>
  <c r="N9" i="1"/>
  <c r="L9" i="1"/>
  <c r="J9" i="1"/>
  <c r="H9" i="1"/>
  <c r="F9" i="1"/>
  <c r="H24" i="1"/>
  <c r="D7" i="1"/>
  <c r="E14" i="1" s="1"/>
  <c r="E7" i="1"/>
  <c r="E9" i="1" s="1"/>
  <c r="F7" i="1"/>
  <c r="G7" i="1"/>
  <c r="G9" i="1" s="1"/>
  <c r="H7" i="1"/>
  <c r="I7" i="1"/>
  <c r="I9" i="1" s="1"/>
  <c r="J7" i="1"/>
  <c r="K7" i="1"/>
  <c r="K9" i="1" s="1"/>
  <c r="L7" i="1"/>
  <c r="M7" i="1"/>
  <c r="M9" i="1" s="1"/>
  <c r="N7" i="1"/>
  <c r="O7" i="1"/>
  <c r="O9" i="1" s="1"/>
  <c r="P7" i="1"/>
  <c r="Q7" i="1"/>
  <c r="Q9" i="1" s="1"/>
  <c r="R7" i="1"/>
  <c r="R9" i="1" s="1"/>
  <c r="S7" i="1"/>
  <c r="S9" i="1" s="1"/>
  <c r="T7" i="1"/>
  <c r="T9" i="1" s="1"/>
  <c r="U7" i="1"/>
  <c r="U9" i="1" s="1"/>
  <c r="V7" i="1"/>
  <c r="V9" i="1" s="1"/>
  <c r="W7" i="1"/>
  <c r="W9" i="1" s="1"/>
  <c r="X7" i="1"/>
  <c r="X9" i="1" s="1"/>
  <c r="Y7" i="1"/>
  <c r="Y9" i="1" s="1"/>
  <c r="Z7" i="1"/>
  <c r="Z9" i="1" s="1"/>
  <c r="AA7" i="1"/>
  <c r="AA9" i="1" s="1"/>
  <c r="AB7" i="1"/>
  <c r="AB9" i="1" s="1"/>
  <c r="AC7" i="1"/>
  <c r="AC9" i="1" s="1"/>
  <c r="AD7" i="1"/>
  <c r="AD9" i="1" s="1"/>
  <c r="AE7" i="1"/>
  <c r="AE9" i="1" s="1"/>
  <c r="AF7" i="1"/>
  <c r="AF9" i="1" s="1"/>
  <c r="F15" i="1" l="1"/>
  <c r="E20" i="1"/>
  <c r="F21" i="1" s="1"/>
  <c r="D9" i="1"/>
</calcChain>
</file>

<file path=xl/sharedStrings.xml><?xml version="1.0" encoding="utf-8"?>
<sst xmlns="http://schemas.openxmlformats.org/spreadsheetml/2006/main" count="47" uniqueCount="46">
  <si>
    <t>soup</t>
  </si>
  <si>
    <t>beans</t>
  </si>
  <si>
    <t>toms</t>
  </si>
  <si>
    <t>spag</t>
  </si>
  <si>
    <t>meat</t>
  </si>
  <si>
    <t>veg</t>
  </si>
  <si>
    <t>vegatarian</t>
  </si>
  <si>
    <t>tea</t>
  </si>
  <si>
    <t>Inner wall</t>
  </si>
  <si>
    <t>sugar</t>
  </si>
  <si>
    <t>juice</t>
  </si>
  <si>
    <t>rice pud</t>
  </si>
  <si>
    <t>fruit</t>
  </si>
  <si>
    <t>fish</t>
  </si>
  <si>
    <t>Inner centre</t>
  </si>
  <si>
    <t>rice</t>
  </si>
  <si>
    <t>pasta</t>
  </si>
  <si>
    <t>potatoes</t>
  </si>
  <si>
    <t>milk</t>
  </si>
  <si>
    <t>cereal</t>
  </si>
  <si>
    <t>biscuits</t>
  </si>
  <si>
    <t>savory treats</t>
  </si>
  <si>
    <t>choc treats</t>
  </si>
  <si>
    <t>pasta sauce</t>
  </si>
  <si>
    <t>Outer centre</t>
  </si>
  <si>
    <t>Outer wall</t>
  </si>
  <si>
    <t>misc</t>
  </si>
  <si>
    <t>household</t>
  </si>
  <si>
    <t>baby food</t>
  </si>
  <si>
    <t>jam</t>
  </si>
  <si>
    <t>odds</t>
  </si>
  <si>
    <t>End racks</t>
  </si>
  <si>
    <t>coffee</t>
  </si>
  <si>
    <t>Sponge puds</t>
  </si>
  <si>
    <t>Total</t>
  </si>
  <si>
    <t>Estimated weight</t>
  </si>
  <si>
    <t>per quick count 25 June</t>
  </si>
  <si>
    <t>per stock take 23 June</t>
  </si>
  <si>
    <t>diffference</t>
  </si>
  <si>
    <t>Plus EFBs not counted in above</t>
  </si>
  <si>
    <t>revised total</t>
  </si>
  <si>
    <t>comprising EFBs not included in above</t>
  </si>
  <si>
    <t>assorted part trays of goods received 23.06.14 but not added to database until after stock count, now removed from stock count</t>
  </si>
  <si>
    <t>difference between numbers of boxes above compared with stock take</t>
  </si>
  <si>
    <t>unaccounted for difference in number of trays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</si>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</sst>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sz val="8"/>
      <name val="Arial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0" fillId="2" borderId="0" xfId="0" applyFill="1" applyBorder="1"/>
    <xf numFmtId="0" fontId="2" fillId="0" borderId="0" xfId="0" applyFont="1"/>
    <xf numFmtId="0" fontId="2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H29"/>
  <sheetViews>
    <sheetView tabSelected="1" workbookViewId="0">
      <selection activeCell="A9" sqref="A9"/>
    </sheetView>
  </sheetViews>
  <sheetFormatPr defaultRowHeight="12.75" x14ac:dyDescent="0.2"/>
  <cols>
    <col min="2" max="2" width="21" bestFit="1" customWidth="1"/>
    <col min="3" max="3" width="21" customWidth="1"/>
    <col min="7" max="7" width="12.85546875" customWidth="1"/>
    <col min="23" max="32" width="11.5703125" customWidth="1"/>
  </cols>
  <sheetData>
    <row r="1" spans="2:34" x14ac:dyDescent="0.2">
      <c r="C1" t="s">
        <v>45</v>
      </c>
      <c r="D1" t="s">
        <v>0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26</v>
      </c>
      <c r="AA1" t="s">
        <v>27</v>
      </c>
      <c r="AB1" t="s">
        <v>28</v>
      </c>
      <c r="AC1" t="s">
        <v>29</v>
      </c>
      <c r="AD1" t="s">
        <v>30</v>
      </c>
      <c r="AE1" t="s">
        <v>32</v>
      </c>
      <c r="AF1" t="s">
        <v>33</v>
      </c>
    </row>
    <row r="2" spans="2:34" x14ac:dyDescent="0.2">
      <c r="D2">
        <v>49</v>
      </c>
      <c r="E2">
        <v>69</v>
      </c>
      <c r="F2">
        <v>3</v>
      </c>
      <c r="G2">
        <v>12</v>
      </c>
      <c r="H2">
        <v>43</v>
      </c>
      <c r="I2">
        <v>8</v>
      </c>
      <c r="J2">
        <v>3</v>
      </c>
      <c r="K2">
        <v>54</v>
      </c>
      <c r="AH2" t="s">
        <v>8</v>
      </c>
    </row>
    <row r="3" spans="2:34" x14ac:dyDescent="0.2">
      <c r="D3">
        <v>27</v>
      </c>
      <c r="E3">
        <v>44</v>
      </c>
      <c r="F3">
        <v>36</v>
      </c>
      <c r="H3">
        <v>64</v>
      </c>
      <c r="I3">
        <v>22</v>
      </c>
      <c r="K3">
        <v>35</v>
      </c>
      <c r="L3">
        <v>2</v>
      </c>
      <c r="M3">
        <v>3</v>
      </c>
      <c r="N3">
        <v>12</v>
      </c>
      <c r="O3">
        <v>12</v>
      </c>
      <c r="P3">
        <v>7</v>
      </c>
      <c r="AH3" t="s">
        <v>14</v>
      </c>
    </row>
    <row r="4" spans="2:34" x14ac:dyDescent="0.2">
      <c r="Q4">
        <v>25</v>
      </c>
      <c r="R4">
        <v>45</v>
      </c>
      <c r="S4">
        <v>26</v>
      </c>
      <c r="T4">
        <v>4</v>
      </c>
      <c r="U4">
        <v>24</v>
      </c>
      <c r="V4">
        <v>23</v>
      </c>
      <c r="W4">
        <v>14</v>
      </c>
      <c r="X4">
        <v>4</v>
      </c>
      <c r="Y4">
        <v>10</v>
      </c>
      <c r="AH4" t="s">
        <v>24</v>
      </c>
    </row>
    <row r="5" spans="2:34" x14ac:dyDescent="0.2">
      <c r="Q5">
        <v>15</v>
      </c>
      <c r="R5">
        <v>52</v>
      </c>
      <c r="S5">
        <v>22</v>
      </c>
      <c r="V5">
        <v>38</v>
      </c>
      <c r="Z5">
        <v>11</v>
      </c>
      <c r="AA5">
        <v>2</v>
      </c>
      <c r="AB5">
        <v>2</v>
      </c>
      <c r="AC5">
        <v>19</v>
      </c>
      <c r="AD5">
        <v>1</v>
      </c>
      <c r="AH5" t="s">
        <v>25</v>
      </c>
    </row>
    <row r="6" spans="2:34" ht="13.5" thickBot="1" x14ac:dyDescent="0.25">
      <c r="G6">
        <v>34</v>
      </c>
      <c r="R6">
        <v>17</v>
      </c>
      <c r="AC6">
        <v>20</v>
      </c>
      <c r="AD6">
        <v>1</v>
      </c>
      <c r="AE6">
        <v>2</v>
      </c>
      <c r="AF6">
        <v>1</v>
      </c>
      <c r="AH6" t="s">
        <v>31</v>
      </c>
    </row>
    <row r="7" spans="2:34" ht="13.5" thickBot="1" x14ac:dyDescent="0.25">
      <c r="B7" t="s">
        <v>36</v>
      </c>
      <c r="C7">
        <f>SUM(D7:AF7)</f>
        <v>917</v>
      </c>
      <c r="D7" s="1">
        <f t="shared" ref="D7:AE7" si="0">SUM(D2:D6)</f>
        <v>76</v>
      </c>
      <c r="E7" s="1">
        <f t="shared" si="0"/>
        <v>113</v>
      </c>
      <c r="F7" s="1">
        <f t="shared" si="0"/>
        <v>39</v>
      </c>
      <c r="G7" s="1">
        <f t="shared" si="0"/>
        <v>46</v>
      </c>
      <c r="H7" s="1">
        <f t="shared" si="0"/>
        <v>107</v>
      </c>
      <c r="I7" s="1">
        <f t="shared" si="0"/>
        <v>30</v>
      </c>
      <c r="J7" s="1">
        <f t="shared" si="0"/>
        <v>3</v>
      </c>
      <c r="K7" s="1">
        <f t="shared" si="0"/>
        <v>89</v>
      </c>
      <c r="L7" s="1">
        <f t="shared" si="0"/>
        <v>2</v>
      </c>
      <c r="M7" s="1">
        <f t="shared" si="0"/>
        <v>3</v>
      </c>
      <c r="N7" s="1">
        <f t="shared" si="0"/>
        <v>12</v>
      </c>
      <c r="O7" s="1">
        <f t="shared" si="0"/>
        <v>12</v>
      </c>
      <c r="P7" s="1">
        <f t="shared" si="0"/>
        <v>7</v>
      </c>
      <c r="Q7" s="1">
        <f t="shared" si="0"/>
        <v>40</v>
      </c>
      <c r="R7" s="1">
        <f t="shared" si="0"/>
        <v>114</v>
      </c>
      <c r="S7" s="1">
        <f t="shared" si="0"/>
        <v>48</v>
      </c>
      <c r="T7" s="1">
        <f t="shared" si="0"/>
        <v>4</v>
      </c>
      <c r="U7" s="1">
        <f t="shared" si="0"/>
        <v>24</v>
      </c>
      <c r="V7" s="1">
        <f t="shared" si="0"/>
        <v>61</v>
      </c>
      <c r="W7" s="1">
        <f t="shared" si="0"/>
        <v>14</v>
      </c>
      <c r="X7" s="1">
        <f t="shared" si="0"/>
        <v>4</v>
      </c>
      <c r="Y7" s="1">
        <f t="shared" si="0"/>
        <v>10</v>
      </c>
      <c r="Z7" s="1">
        <f t="shared" si="0"/>
        <v>11</v>
      </c>
      <c r="AA7" s="1">
        <f t="shared" si="0"/>
        <v>2</v>
      </c>
      <c r="AB7" s="1">
        <f t="shared" si="0"/>
        <v>2</v>
      </c>
      <c r="AC7" s="1">
        <f t="shared" si="0"/>
        <v>39</v>
      </c>
      <c r="AD7" s="1">
        <f t="shared" si="0"/>
        <v>2</v>
      </c>
      <c r="AE7" s="1">
        <f t="shared" si="0"/>
        <v>2</v>
      </c>
      <c r="AF7" s="1">
        <f>SUM(AF2:AF6)</f>
        <v>1</v>
      </c>
    </row>
    <row r="8" spans="2:34" x14ac:dyDescent="0.2">
      <c r="B8" t="s">
        <v>37</v>
      </c>
      <c r="C8">
        <f>SUM(D8:AF8)</f>
        <v>974</v>
      </c>
      <c r="D8" s="2">
        <v>75</v>
      </c>
      <c r="E8" s="2">
        <v>175</v>
      </c>
      <c r="F8" s="2">
        <v>38</v>
      </c>
      <c r="G8" s="2"/>
      <c r="H8" s="2">
        <v>95</v>
      </c>
      <c r="I8" s="2">
        <v>22</v>
      </c>
      <c r="J8" s="2">
        <v>11</v>
      </c>
      <c r="K8" s="2">
        <v>103</v>
      </c>
      <c r="L8" s="2">
        <v>2</v>
      </c>
      <c r="M8" s="2">
        <v>3</v>
      </c>
      <c r="N8" s="2">
        <v>11</v>
      </c>
      <c r="O8" s="2">
        <v>12</v>
      </c>
      <c r="P8" s="2">
        <v>6</v>
      </c>
      <c r="Q8" s="2">
        <v>173</v>
      </c>
      <c r="R8" s="2">
        <v>0</v>
      </c>
      <c r="S8" s="2">
        <v>50</v>
      </c>
      <c r="T8" s="2">
        <v>4</v>
      </c>
      <c r="U8" s="2">
        <v>46</v>
      </c>
      <c r="V8" s="2">
        <v>55</v>
      </c>
      <c r="W8" s="2">
        <v>14</v>
      </c>
      <c r="X8" s="2">
        <v>4</v>
      </c>
      <c r="Y8" s="2">
        <v>10</v>
      </c>
      <c r="Z8" s="2">
        <v>18</v>
      </c>
      <c r="AA8" s="2">
        <v>0</v>
      </c>
      <c r="AB8" s="2">
        <v>2</v>
      </c>
      <c r="AC8" s="2">
        <v>40</v>
      </c>
      <c r="AD8" s="2">
        <v>2</v>
      </c>
      <c r="AE8" s="2">
        <v>1</v>
      </c>
      <c r="AF8" s="2">
        <v>2</v>
      </c>
    </row>
    <row r="9" spans="2:34" x14ac:dyDescent="0.2">
      <c r="B9" t="s">
        <v>38</v>
      </c>
      <c r="C9">
        <f>SUM(D9:AF9)</f>
        <v>108</v>
      </c>
      <c r="D9" s="2">
        <f>D7-D8</f>
        <v>1</v>
      </c>
      <c r="E9" s="2">
        <f t="shared" ref="E9:AF9" si="1">E7-E8</f>
        <v>-62</v>
      </c>
      <c r="F9" s="2">
        <f t="shared" si="1"/>
        <v>1</v>
      </c>
      <c r="G9" s="2">
        <f t="shared" si="1"/>
        <v>46</v>
      </c>
      <c r="H9" s="2">
        <f t="shared" si="1"/>
        <v>12</v>
      </c>
      <c r="I9" s="2">
        <f t="shared" si="1"/>
        <v>8</v>
      </c>
      <c r="J9" s="2">
        <f t="shared" si="1"/>
        <v>-8</v>
      </c>
      <c r="K9" s="2">
        <f t="shared" si="1"/>
        <v>-14</v>
      </c>
      <c r="L9" s="2">
        <f t="shared" si="1"/>
        <v>0</v>
      </c>
      <c r="M9" s="2">
        <f t="shared" si="1"/>
        <v>0</v>
      </c>
      <c r="N9" s="2">
        <f t="shared" si="1"/>
        <v>1</v>
      </c>
      <c r="O9" s="2">
        <f t="shared" si="1"/>
        <v>0</v>
      </c>
      <c r="P9" s="2">
        <f t="shared" si="1"/>
        <v>1</v>
      </c>
      <c r="Q9" s="2">
        <f>Q7-8</f>
        <v>32</v>
      </c>
      <c r="R9" s="2">
        <f t="shared" si="1"/>
        <v>114</v>
      </c>
      <c r="S9" s="2">
        <f t="shared" si="1"/>
        <v>-2</v>
      </c>
      <c r="T9" s="2">
        <f t="shared" si="1"/>
        <v>0</v>
      </c>
      <c r="U9" s="2">
        <f t="shared" si="1"/>
        <v>-22</v>
      </c>
      <c r="V9" s="2">
        <f t="shared" si="1"/>
        <v>6</v>
      </c>
      <c r="W9" s="2">
        <f t="shared" si="1"/>
        <v>0</v>
      </c>
      <c r="X9" s="2">
        <f t="shared" si="1"/>
        <v>0</v>
      </c>
      <c r="Y9" s="2">
        <f t="shared" si="1"/>
        <v>0</v>
      </c>
      <c r="Z9" s="2">
        <f t="shared" si="1"/>
        <v>-7</v>
      </c>
      <c r="AA9" s="2">
        <f t="shared" si="1"/>
        <v>2</v>
      </c>
      <c r="AB9" s="2">
        <f t="shared" si="1"/>
        <v>0</v>
      </c>
      <c r="AC9" s="2">
        <f t="shared" si="1"/>
        <v>-1</v>
      </c>
      <c r="AD9" s="2">
        <f t="shared" si="1"/>
        <v>0</v>
      </c>
      <c r="AE9" s="2">
        <f t="shared" si="1"/>
        <v>1</v>
      </c>
      <c r="AF9" s="2">
        <f t="shared" si="1"/>
        <v>-1</v>
      </c>
    </row>
    <row r="14" spans="2:34" x14ac:dyDescent="0.2">
      <c r="D14" t="s">
        <v>34</v>
      </c>
      <c r="E14">
        <f>SUM(D7:AF7)</f>
        <v>917</v>
      </c>
    </row>
    <row r="15" spans="2:34" x14ac:dyDescent="0.2">
      <c r="D15" t="s">
        <v>35</v>
      </c>
      <c r="F15">
        <f>E14*10-1.3</f>
        <v>9168.7000000000007</v>
      </c>
    </row>
    <row r="18" spans="2:8" ht="51" x14ac:dyDescent="0.2">
      <c r="D18" s="4" t="s">
        <v>39</v>
      </c>
      <c r="E18">
        <v>73</v>
      </c>
    </row>
    <row r="20" spans="2:8" x14ac:dyDescent="0.2">
      <c r="D20" s="3" t="s">
        <v>40</v>
      </c>
      <c r="E20">
        <f>E14+E18</f>
        <v>990</v>
      </c>
    </row>
    <row r="21" spans="2:8" x14ac:dyDescent="0.2">
      <c r="D21" t="s">
        <v>35</v>
      </c>
      <c r="F21">
        <f>E20*11.3</f>
        <v>11187</v>
      </c>
    </row>
    <row r="24" spans="2:8" x14ac:dyDescent="0.2">
      <c r="B24" s="3" t="s">
        <v>43</v>
      </c>
      <c r="C24" s="3"/>
      <c r="H24">
        <f>1047-917</f>
        <v>130</v>
      </c>
    </row>
    <row r="26" spans="2:8" x14ac:dyDescent="0.2">
      <c r="D26" s="3" t="s">
        <v>41</v>
      </c>
      <c r="H26">
        <v>73</v>
      </c>
    </row>
    <row r="27" spans="2:8" x14ac:dyDescent="0.2">
      <c r="D27" s="5" t="s">
        <v>42</v>
      </c>
      <c r="E27" s="6"/>
      <c r="F27" s="6"/>
      <c r="G27" s="6"/>
      <c r="H27">
        <v>18</v>
      </c>
    </row>
    <row r="29" spans="2:8" x14ac:dyDescent="0.2">
      <c r="D29" t="s">
        <v>44</v>
      </c>
      <c r="H29">
        <f>H24-H26-H27</f>
        <v>39</v>
      </c>
    </row>
  </sheetData>
  <mergeCells count="1">
    <mergeCell ref="D27:G27"/>
  </mergeCells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1CA48CEC719184D85A73E660997F88B" ma:contentTypeVersion="9" ma:contentTypeDescription="Create a new document." ma:contentTypeScope="" ma:versionID="5b62705be076f6b8499c49472fd1fe9f">
  <xsd:schema xmlns:xsd="http://www.w3.org/2001/XMLSchema" xmlns:xs="http://www.w3.org/2001/XMLSchema" xmlns:p="http://schemas.microsoft.com/office/2006/metadata/properties" xmlns:ns2="175bd3b9-7edf-4a4a-b9d1-7186fb46ae82" targetNamespace="http://schemas.microsoft.com/office/2006/metadata/properties" ma:root="true" ma:fieldsID="7080b9af62254c11f73159494d1ae1d3" ns2:_="">
    <xsd:import namespace="175bd3b9-7edf-4a4a-b9d1-7186fb46ae8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75bd3b9-7edf-4a4a-b9d1-7186fb46ae8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09893B8-25C8-4346-9F7F-AA5C1CC54A57}"/>
</file>

<file path=customXml/itemProps2.xml><?xml version="1.0" encoding="utf-8"?>
<ds:datastoreItem xmlns:ds="http://schemas.openxmlformats.org/officeDocument/2006/customXml" ds:itemID="{E91FC452-D28E-4775-9A12-F38027CF5F4F}"/>
</file>

<file path=customXml/itemProps3.xml><?xml version="1.0" encoding="utf-8"?>
<ds:datastoreItem xmlns:ds="http://schemas.openxmlformats.org/officeDocument/2006/customXml" ds:itemID="{4A931134-0BFA-4F60-9F2A-02C24352812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Bray</dc:creator>
  <cp:lastModifiedBy>Bev</cp:lastModifiedBy>
  <dcterms:created xsi:type="dcterms:W3CDTF">2014-06-25T09:50:47Z</dcterms:created>
  <dcterms:modified xsi:type="dcterms:W3CDTF">2014-10-13T17:08:51Z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0x010100C1CA48CEC719184D85A73E660997F88B</vt:lpwstr>
  </property>
</Properties>
</file>